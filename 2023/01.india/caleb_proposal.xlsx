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E:\2022-2023\Jan\Caleb\"/>
    </mc:Choice>
  </mc:AlternateContent>
  <xr:revisionPtr revIDLastSave="0" documentId="13_ncr:1_{D2EDCF66-73A0-4465-92FF-DA358E45026E}" xr6:coauthVersionLast="47" xr6:coauthVersionMax="47" xr10:uidLastSave="{00000000-0000-0000-0000-000000000000}"/>
  <bookViews>
    <workbookView xWindow="-120" yWindow="-120" windowWidth="20730" windowHeight="11160" activeTab="1" xr2:uid="{A2DA3F41-8B40-4A28-9D9E-C595F31BF9C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2" l="1"/>
  <c r="I15" i="2"/>
  <c r="I12" i="2"/>
  <c r="I11" i="2"/>
  <c r="I8" i="2"/>
  <c r="I7" i="2"/>
  <c r="I5" i="2"/>
  <c r="L23" i="2"/>
</calcChain>
</file>

<file path=xl/sharedStrings.xml><?xml version="1.0" encoding="utf-8"?>
<sst xmlns="http://schemas.openxmlformats.org/spreadsheetml/2006/main" count="142" uniqueCount="81">
  <si>
    <t>Date</t>
  </si>
  <si>
    <t>Day</t>
  </si>
  <si>
    <t># Nights</t>
  </si>
  <si>
    <t>Overnight</t>
  </si>
  <si>
    <t>Notes</t>
  </si>
  <si>
    <t>Sat</t>
  </si>
  <si>
    <t>Mumbai</t>
  </si>
  <si>
    <t>Look at Deepa's tours</t>
  </si>
  <si>
    <t>Thu</t>
  </si>
  <si>
    <t>Jaisalmer</t>
  </si>
  <si>
    <t>Fly to Jaisalmer. No services from Deepa</t>
  </si>
  <si>
    <t>Sun</t>
  </si>
  <si>
    <t>Jodhpur</t>
  </si>
  <si>
    <t>We have to figure out how to get from Jaisalmer to Jodhpur</t>
  </si>
  <si>
    <t>Wed</t>
  </si>
  <si>
    <t>Ranakpur</t>
  </si>
  <si>
    <t>Vehicle service starts, from this point until they drop us off in Vrindavan on 24th</t>
  </si>
  <si>
    <t>Fri</t>
  </si>
  <si>
    <t>Udaipur</t>
  </si>
  <si>
    <t>Car and driver from Deepa</t>
  </si>
  <si>
    <t>Mon</t>
  </si>
  <si>
    <t>Bundi</t>
  </si>
  <si>
    <t>Jaipur</t>
  </si>
  <si>
    <t>Car and driver from Deepa. Literature Festival. Music Festival</t>
  </si>
  <si>
    <t>Agra</t>
  </si>
  <si>
    <t>Vrindavan</t>
  </si>
  <si>
    <t>Dropped off in Vrindavan</t>
  </si>
  <si>
    <t>Delhi</t>
  </si>
  <si>
    <t>Transfer to Delhi 3hrs, tour in Delhi, Akshardham</t>
  </si>
  <si>
    <t>Haridwar</t>
  </si>
  <si>
    <t>Train to Haridwar (Deepa can book these). No services from Deepa in Haridwar. Temples and Ganga Arati</t>
  </si>
  <si>
    <t>Rishikesh</t>
  </si>
  <si>
    <t>No services from Deepa; maybe stay in an ashram (like this one)</t>
  </si>
  <si>
    <t>Fly to Mumbai Vistara UK 865 15:10 Dehradun 02 h 25 m Non stop 17:35 Mumbai. No services from Deepa. Maybe we'll go to Pune here</t>
  </si>
  <si>
    <t>Leave</t>
  </si>
  <si>
    <t>The accomodation options are listed as comments in the notes sections. A very rough estimate would be about $280 per person for the whole trip until getting back to Mumbai. I think this is very reasonable, but we should also have some flexibility. For the places where we've listed a hostel and airbnb option, like Jaipur, I used the airbnb option. So, the total cost could potentially be lower if we always did hostels. At hostels, Caleb and I might get a private room, so he and I would spend a bit more there. I am a bit worried about getting pregnant-sick and sleeping in a room with strangers. lol. The driver, food, and any tours we'd decide to do will be additional costs. We will find out about the cost of the driver in the next few days when we talk to Deepa again.</t>
  </si>
  <si>
    <t xml:space="preserve">Ask your hotel or we can book  atrain for you: 04825 JSM JU SPL departs JSM 06.00 arrives JU 12.45 OR 14803 JSM SBIB EXP departs JSM 15.10 arrives JU 20.30	</t>
  </si>
  <si>
    <t>Tue</t>
  </si>
  <si>
    <t>Pickup from Jodhpur, drive 4hrs to Ranakpur. Visit Kumbhalgarh Fortress</t>
  </si>
  <si>
    <t>Drive 4hrs to Bundi, visiting Chittorgarh on the way</t>
  </si>
  <si>
    <t>Visit Nagda and Eklingji Temples. Miniature Painting Workshop, or Visit to Animal Aid. Sunset views from Monsoon Palace Sajjangarh</t>
  </si>
  <si>
    <t>Bundi sightseeing (Taragarh Fort, Stepwells, Walk through the town) and leisure</t>
  </si>
  <si>
    <t xml:space="preserve">Literature festival. Evening music/dance performance </t>
  </si>
  <si>
    <t>Drive 5hrs to Agra, on the way visit Fatehpur Sikri. Sunset view of the Taj from the other side of the Yamuna River</t>
  </si>
  <si>
    <t>Visit the Taj Mahal at sunrise. Visit Agra Fort and drop to Vrindavan 1hr</t>
  </si>
  <si>
    <t>End</t>
  </si>
  <si>
    <t>Visit Ranakpur Jain Temple. Leopard safaris are available in this area, or you can visit Jawai Dam in the evening, or go for local hikes</t>
  </si>
  <si>
    <t>No services</t>
  </si>
  <si>
    <t>Drive 3hrs to Udaipur, on the way visit Rajsamand Lake and Nathdwara Krishna Temple https://en.wikipedia.org/wiki/Pushtimarg. Boat ride on Lake Pichola</t>
  </si>
  <si>
    <t>Udaipur sightseeing - Ghat and Bazaar Walk seeing different crafts https://www.instagram.com/p/CjMlbx5qQNC/ and https://udaipurmagic.net/udaipur-bazaar-ghatwalk.html, visit Jagdish Temple, City Palace, Saheliyon ki badi. Evening entertainment at Bagore ki Haveli https://www.youtube.com/watch?v=GKqmXpZwhsk&amp;t=10s</t>
  </si>
  <si>
    <t>Drive 4hrs to Jaipur. Heritage walk and rikshaw ride in the Walled City https://jaipurmagic.com/rickshaw-ride-heritage-walk.html 
https://www.netflix.com/in/title/70090035</t>
  </si>
  <si>
    <t>Historic walk through Amer Fort and surrounds. https://jaipurmagic.com/historic-walk-amer.html (Amer has audio guide)
Afternoon attend the Literature Festival. https://jaipurliteraturefestival.org/programme Evening JaipurStage performance https://jaipurmusicstage.com/</t>
  </si>
  <si>
    <t xml:space="preserve">Drive to Delhi. On the way visit Akshardham. Evening visit the Qutb Complex </t>
  </si>
  <si>
    <t>Transport Toyota Innova</t>
  </si>
  <si>
    <t>Leopard Safari</t>
  </si>
  <si>
    <t>Ghat and Bazaar Walk</t>
  </si>
  <si>
    <t>Miniature Painting Workshop</t>
  </si>
  <si>
    <t>Itinerary</t>
  </si>
  <si>
    <t>Inclusions</t>
  </si>
  <si>
    <t>Exclusions</t>
  </si>
  <si>
    <t>Heritage walk with rickshaw ride</t>
  </si>
  <si>
    <t>Historic Walk through Amer</t>
  </si>
  <si>
    <t>Guided tour of Taj and Agra Fort</t>
  </si>
  <si>
    <t>None</t>
  </si>
  <si>
    <t>Morning visit to Lodhi Gardens, Gandhi Smriti, Lotus Temple of the Bahai Faith. Afternoon tour of New Delhi and Old Delhi with local transport and a meal at Haldirams. If interested you can also do some food tasting https://delhimagic.com/metro.html</t>
  </si>
  <si>
    <t>Half day tour New Delhi and Old Delhi</t>
  </si>
  <si>
    <t>Shared Jeep safari, local guide and all taxes</t>
  </si>
  <si>
    <t>Tips</t>
  </si>
  <si>
    <t>English-speaking guide and all taxes.</t>
  </si>
  <si>
    <t>Meals, tips</t>
  </si>
  <si>
    <t>Workshop with all materials and all taxes</t>
  </si>
  <si>
    <t>Trained guide, bottled water, rickshaw ride and all taxes</t>
  </si>
  <si>
    <t xml:space="preserve">Meals, Entrances, tips, </t>
  </si>
  <si>
    <t>Trained guide, bottled water and all taxes.</t>
  </si>
  <si>
    <t>Meals, Entrances, tips, Rides</t>
  </si>
  <si>
    <t>Meals, Entrances, tips</t>
  </si>
  <si>
    <t>Train tickets to Haridwar (Train 12017	DEHRADUN SHTBDI	NDLS	06:45hrs 11:33hrs). No transfers or other services</t>
  </si>
  <si>
    <t xml:space="preserve">Optional Tour </t>
  </si>
  <si>
    <t xml:space="preserve">Transport Toyota Etios </t>
  </si>
  <si>
    <t xml:space="preserve">Cost </t>
  </si>
  <si>
    <t>Train Tickets on AC Chair 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</si>
</sst>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Arial"/>
      <family val="2"/>
    </font>
    <font>
      <sz val="10"/>
      <color theme="1"/>
      <name val="Arial"/>
      <family val="2"/>
    </font>
    <font>
      <u/>
      <sz val="11"/>
      <color theme="10"/>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0" borderId="1" xfId="0" applyFont="1" applyBorder="1" applyAlignment="1">
      <alignment horizontal="center" vertical="top" wrapText="1"/>
    </xf>
    <xf numFmtId="0" fontId="0" fillId="0" borderId="0" xfId="0" applyAlignment="1">
      <alignment vertical="top"/>
    </xf>
    <xf numFmtId="15" fontId="2" fillId="0" borderId="1" xfId="0" applyNumberFormat="1"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3" fillId="0" borderId="1" xfId="1" applyBorder="1" applyAlignment="1">
      <alignment vertical="top" wrapText="1"/>
    </xf>
    <xf numFmtId="15" fontId="2" fillId="0" borderId="2" xfId="0" applyNumberFormat="1" applyFont="1" applyBorder="1" applyAlignment="1">
      <alignment vertical="top" wrapText="1"/>
    </xf>
    <xf numFmtId="0" fontId="2" fillId="0" borderId="2" xfId="0" applyFont="1"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0" fillId="0" borderId="2" xfId="0" applyBorder="1" applyAlignment="1">
      <alignment horizontal="center" vertical="top" wrapText="1"/>
    </xf>
    <xf numFmtId="0" fontId="5" fillId="0" borderId="0" xfId="0" applyFont="1" applyAlignment="1">
      <alignment vertical="top" wrapText="1"/>
    </xf>
    <xf numFmtId="0" fontId="5"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o.gl/maps/xqn5bQgQgN2ndbfk6" TargetMode="External"/><Relationship Id="rId13" Type="http://schemas.openxmlformats.org/officeDocument/2006/relationships/hyperlink" Target="https://goo.gl/maps/r2kMp9KfaBxnqJoZ9" TargetMode="External"/><Relationship Id="rId3" Type="http://schemas.openxmlformats.org/officeDocument/2006/relationships/hyperlink" Target="https://goo.gl/maps/5ahu7L86BNEgs1yUA" TargetMode="External"/><Relationship Id="rId7" Type="http://schemas.openxmlformats.org/officeDocument/2006/relationships/hyperlink" Target="https://goo.gl/maps/ei8sVTg6LKc7FXRA6" TargetMode="External"/><Relationship Id="rId12" Type="http://schemas.openxmlformats.org/officeDocument/2006/relationships/hyperlink" Target="https://www.tripsavvy.com/ganga-aarti-india-guide-1539713" TargetMode="External"/><Relationship Id="rId2" Type="http://schemas.openxmlformats.org/officeDocument/2006/relationships/hyperlink" Target="https://goo.gl/maps/simG46KQNogs1WMW6" TargetMode="External"/><Relationship Id="rId1" Type="http://schemas.openxmlformats.org/officeDocument/2006/relationships/hyperlink" Target="https://mumbaimagic.com/mumbai-local.html" TargetMode="External"/><Relationship Id="rId6" Type="http://schemas.openxmlformats.org/officeDocument/2006/relationships/hyperlink" Target="https://goo.gl/maps/kg6cGug5qFZZz3757" TargetMode="External"/><Relationship Id="rId11" Type="http://schemas.openxmlformats.org/officeDocument/2006/relationships/hyperlink" Target="https://goo.gl/maps/9ot8fPEk4V2tDsGn9" TargetMode="External"/><Relationship Id="rId5" Type="http://schemas.openxmlformats.org/officeDocument/2006/relationships/hyperlink" Target="https://goo.gl/maps/fZmaC1ce9B45RVMN6" TargetMode="External"/><Relationship Id="rId15" Type="http://schemas.openxmlformats.org/officeDocument/2006/relationships/printerSettings" Target="../printerSettings/printerSettings1.bin"/><Relationship Id="rId10" Type="http://schemas.openxmlformats.org/officeDocument/2006/relationships/hyperlink" Target="https://goo.gl/maps/XGG7yzv4vXCbA9Ay6" TargetMode="External"/><Relationship Id="rId4" Type="http://schemas.openxmlformats.org/officeDocument/2006/relationships/hyperlink" Target="https://goo.gl/maps/bKeGEpN4qgn31MxA6" TargetMode="External"/><Relationship Id="rId9" Type="http://schemas.openxmlformats.org/officeDocument/2006/relationships/hyperlink" Target="https://goo.gl/maps/brPVoYXf2A3Uax6M9" TargetMode="External"/><Relationship Id="rId14" Type="http://schemas.openxmlformats.org/officeDocument/2006/relationships/hyperlink" Target="https://www.parmarth.org/reserva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AFB3-7267-4EC9-8CB2-D9077801BD7C}">
  <dimension ref="A1:F17"/>
  <sheetViews>
    <sheetView workbookViewId="0">
      <selection activeCell="E4" sqref="E4"/>
    </sheetView>
  </sheetViews>
  <sheetFormatPr defaultColWidth="8.85546875" defaultRowHeight="15" x14ac:dyDescent="0.25"/>
  <cols>
    <col min="1" max="1" width="18.42578125" style="2" customWidth="1"/>
    <col min="2" max="4" width="8.85546875" style="2"/>
    <col min="5" max="5" width="67.7109375" style="2" customWidth="1"/>
    <col min="6" max="16384" width="8.85546875" style="2"/>
  </cols>
  <sheetData>
    <row r="1" spans="1:6" ht="26.25" thickBot="1" x14ac:dyDescent="0.3">
      <c r="A1" s="1" t="s">
        <v>0</v>
      </c>
      <c r="B1" s="1" t="s">
        <v>1</v>
      </c>
      <c r="C1" s="1" t="s">
        <v>2</v>
      </c>
      <c r="D1" s="1" t="s">
        <v>3</v>
      </c>
      <c r="E1" s="1" t="s">
        <v>4</v>
      </c>
    </row>
    <row r="2" spans="1:6" ht="15.75" thickBot="1" x14ac:dyDescent="0.3">
      <c r="A2" s="3">
        <v>44926</v>
      </c>
      <c r="B2" s="4" t="s">
        <v>5</v>
      </c>
      <c r="C2" s="5">
        <v>5</v>
      </c>
      <c r="D2" s="4" t="s">
        <v>6</v>
      </c>
      <c r="E2" s="6" t="s">
        <v>7</v>
      </c>
    </row>
    <row r="3" spans="1:6" ht="30.75" thickBot="1" x14ac:dyDescent="0.3">
      <c r="A3" s="3">
        <v>44931</v>
      </c>
      <c r="B3" s="4" t="s">
        <v>8</v>
      </c>
      <c r="C3" s="5">
        <v>3</v>
      </c>
      <c r="D3" s="6" t="s">
        <v>9</v>
      </c>
      <c r="E3" s="4" t="s">
        <v>10</v>
      </c>
    </row>
    <row r="4" spans="1:6" ht="15.75" thickBot="1" x14ac:dyDescent="0.3">
      <c r="A4" s="3">
        <v>44934</v>
      </c>
      <c r="B4" s="4" t="s">
        <v>11</v>
      </c>
      <c r="C4" s="5">
        <v>3</v>
      </c>
      <c r="D4" s="6" t="s">
        <v>12</v>
      </c>
      <c r="E4" s="4" t="s">
        <v>13</v>
      </c>
      <c r="F4" s="2" t="s">
        <v>36</v>
      </c>
    </row>
    <row r="5" spans="1:6" ht="30.75" thickBot="1" x14ac:dyDescent="0.3">
      <c r="A5" s="3">
        <v>44937</v>
      </c>
      <c r="B5" s="4" t="s">
        <v>14</v>
      </c>
      <c r="C5" s="5">
        <v>2</v>
      </c>
      <c r="D5" s="6" t="s">
        <v>15</v>
      </c>
      <c r="E5" s="4" t="s">
        <v>16</v>
      </c>
    </row>
    <row r="6" spans="1:6" ht="15.75" thickBot="1" x14ac:dyDescent="0.3">
      <c r="A6" s="3">
        <v>44939</v>
      </c>
      <c r="B6" s="4" t="s">
        <v>17</v>
      </c>
      <c r="C6" s="5">
        <v>3</v>
      </c>
      <c r="D6" s="6" t="s">
        <v>18</v>
      </c>
      <c r="E6" s="4" t="s">
        <v>19</v>
      </c>
    </row>
    <row r="7" spans="1:6" ht="15.75" thickBot="1" x14ac:dyDescent="0.3">
      <c r="A7" s="3">
        <v>44942</v>
      </c>
      <c r="B7" s="4" t="s">
        <v>20</v>
      </c>
      <c r="C7" s="5">
        <v>2</v>
      </c>
      <c r="D7" s="6" t="s">
        <v>21</v>
      </c>
      <c r="E7" s="4" t="s">
        <v>19</v>
      </c>
    </row>
    <row r="8" spans="1:6" ht="15.75" thickBot="1" x14ac:dyDescent="0.3">
      <c r="A8" s="3">
        <v>44944</v>
      </c>
      <c r="B8" s="4" t="s">
        <v>14</v>
      </c>
      <c r="C8" s="5">
        <v>3</v>
      </c>
      <c r="D8" s="6" t="s">
        <v>22</v>
      </c>
      <c r="E8" s="4" t="s">
        <v>23</v>
      </c>
    </row>
    <row r="9" spans="1:6" ht="15.75" thickBot="1" x14ac:dyDescent="0.3">
      <c r="A9" s="3">
        <v>44947</v>
      </c>
      <c r="B9" s="4" t="s">
        <v>5</v>
      </c>
      <c r="C9" s="5">
        <v>1</v>
      </c>
      <c r="D9" s="6" t="s">
        <v>24</v>
      </c>
      <c r="E9" s="4" t="s">
        <v>19</v>
      </c>
    </row>
    <row r="10" spans="1:6" ht="30.75" thickBot="1" x14ac:dyDescent="0.3">
      <c r="A10" s="3">
        <v>44948</v>
      </c>
      <c r="B10" s="4" t="s">
        <v>11</v>
      </c>
      <c r="C10" s="5">
        <v>6</v>
      </c>
      <c r="D10" s="6" t="s">
        <v>25</v>
      </c>
      <c r="E10" s="4" t="s">
        <v>26</v>
      </c>
    </row>
    <row r="11" spans="1:6" ht="15.75" thickBot="1" x14ac:dyDescent="0.3">
      <c r="A11" s="3">
        <v>44954</v>
      </c>
      <c r="B11" s="4" t="s">
        <v>5</v>
      </c>
      <c r="C11" s="5">
        <v>1</v>
      </c>
      <c r="D11" s="6" t="s">
        <v>27</v>
      </c>
      <c r="E11" s="4" t="s">
        <v>28</v>
      </c>
    </row>
    <row r="12" spans="1:6" ht="30.75" thickBot="1" x14ac:dyDescent="0.3">
      <c r="A12" s="3">
        <v>44955</v>
      </c>
      <c r="B12" s="4" t="s">
        <v>11</v>
      </c>
      <c r="C12" s="5">
        <v>1</v>
      </c>
      <c r="D12" s="6" t="s">
        <v>29</v>
      </c>
      <c r="E12" s="6" t="s">
        <v>30</v>
      </c>
    </row>
    <row r="13" spans="1:6" ht="30.75" thickBot="1" x14ac:dyDescent="0.3">
      <c r="A13" s="3">
        <v>44956</v>
      </c>
      <c r="B13" s="4" t="s">
        <v>20</v>
      </c>
      <c r="C13" s="5">
        <v>5</v>
      </c>
      <c r="D13" s="6" t="s">
        <v>31</v>
      </c>
      <c r="E13" s="6" t="s">
        <v>32</v>
      </c>
    </row>
    <row r="14" spans="1:6" ht="26.25" thickBot="1" x14ac:dyDescent="0.3">
      <c r="A14" s="3">
        <v>44961</v>
      </c>
      <c r="B14" s="4" t="s">
        <v>5</v>
      </c>
      <c r="C14" s="5">
        <v>5</v>
      </c>
      <c r="D14" s="4" t="s">
        <v>6</v>
      </c>
      <c r="E14" s="4" t="s">
        <v>33</v>
      </c>
    </row>
    <row r="15" spans="1:6" ht="15.75" thickBot="1" x14ac:dyDescent="0.3">
      <c r="A15" s="3">
        <v>44966</v>
      </c>
      <c r="B15" s="4" t="s">
        <v>8</v>
      </c>
      <c r="C15" s="5">
        <v>0</v>
      </c>
      <c r="D15" s="4" t="s">
        <v>6</v>
      </c>
      <c r="E15" s="4" t="s">
        <v>34</v>
      </c>
    </row>
    <row r="16" spans="1:6" ht="15.75" thickBot="1" x14ac:dyDescent="0.3">
      <c r="A16" s="3">
        <v>44966</v>
      </c>
      <c r="B16" s="4"/>
      <c r="C16" s="5"/>
      <c r="D16" s="4"/>
      <c r="E16" s="4"/>
    </row>
    <row r="17" spans="1:5" ht="141" thickBot="1" x14ac:dyDescent="0.3">
      <c r="A17" s="4"/>
      <c r="B17" s="4"/>
      <c r="C17" s="5"/>
      <c r="D17" s="4"/>
      <c r="E17" s="4" t="s">
        <v>35</v>
      </c>
    </row>
  </sheetData>
  <hyperlinks>
    <hyperlink ref="E2" r:id="rId1" display="https://mumbaimagic.com/mumbai-local.html" xr:uid="{56414FC6-0747-4EDF-A8C1-D9597607988A}"/>
    <hyperlink ref="D3" r:id="rId2" display="https://goo.gl/maps/simG46KQNogs1WMW6" xr:uid="{4FE88BA0-B4F7-42D0-8C2A-3A46E55EA76B}"/>
    <hyperlink ref="D4" r:id="rId3" display="https://goo.gl/maps/5ahu7L86BNEgs1yUA" xr:uid="{48DD041C-1531-41E2-AD93-A513D67CD438}"/>
    <hyperlink ref="D5" r:id="rId4" display="https://goo.gl/maps/bKeGEpN4qgn31MxA6" xr:uid="{2B1208C2-3B60-4EF3-8B07-5C3FDE462C17}"/>
    <hyperlink ref="D6" r:id="rId5" display="https://goo.gl/maps/fZmaC1ce9B45RVMN6" xr:uid="{E9FB23EA-DC55-4F8D-9BED-78B9D89A2A89}"/>
    <hyperlink ref="D7" r:id="rId6" display="https://goo.gl/maps/kg6cGug5qFZZz3757" xr:uid="{81211548-BA09-4F6F-B8DC-2D355A0C3E12}"/>
    <hyperlink ref="D8" r:id="rId7" display="https://goo.gl/maps/ei8sVTg6LKc7FXRA6" xr:uid="{EBDCFBC5-C4FA-4B03-97BC-204A79CB908A}"/>
    <hyperlink ref="D9" r:id="rId8" display="https://goo.gl/maps/xqn5bQgQgN2ndbfk6" xr:uid="{97E51629-331C-4636-9760-A7A99947C2CC}"/>
    <hyperlink ref="D10" r:id="rId9" display="https://goo.gl/maps/brPVoYXf2A3Uax6M9" xr:uid="{ABDD118A-3ADD-4DB9-A2D5-7D943862EF19}"/>
    <hyperlink ref="D11" r:id="rId10" display="https://goo.gl/maps/XGG7yzv4vXCbA9Ay6" xr:uid="{502B91FC-1106-430E-A12F-5BC9723E0C45}"/>
    <hyperlink ref="D12" r:id="rId11" display="https://goo.gl/maps/9ot8fPEk4V2tDsGn9" xr:uid="{8D3EADBD-8112-4156-BC4E-69FA22D437AD}"/>
    <hyperlink ref="E12" r:id="rId12" display="https://www.tripsavvy.com/ganga-aarti-india-guide-1539713" xr:uid="{E6316CFA-6000-459C-8249-53C536A567E2}"/>
    <hyperlink ref="D13" r:id="rId13" display="https://goo.gl/maps/r2kMp9KfaBxnqJoZ9" xr:uid="{35C928FD-5B1E-466C-8494-7000B8BE5A52}"/>
    <hyperlink ref="E13" r:id="rId14" display="https://www.parmarth.org/reservations/" xr:uid="{6EB6FC82-E175-499F-8752-24AA4A88002C}"/>
  </hyperlinks>
  <pageMargins left="0.7" right="0.7" top="0.75" bottom="0.75" header="0.3" footer="0.3"/>
  <pageSetup paperSize="9"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0FEEC-C4B7-4031-B211-6FB5A4929BE0}">
  <dimension ref="B3:L23"/>
  <sheetViews>
    <sheetView tabSelected="1" topLeftCell="D1" zoomScale="85" zoomScaleNormal="85" workbookViewId="0">
      <selection activeCell="I23" sqref="I23"/>
    </sheetView>
  </sheetViews>
  <sheetFormatPr defaultColWidth="8.85546875" defaultRowHeight="15" x14ac:dyDescent="0.25"/>
  <cols>
    <col min="1" max="1" width="2.140625" style="10" customWidth="1"/>
    <col min="2" max="2" width="9.28515625" style="10" bestFit="1" customWidth="1"/>
    <col min="3" max="3" width="8.85546875" style="10"/>
    <col min="4" max="4" width="62" style="10" customWidth="1"/>
    <col min="5" max="5" width="8.85546875" style="10"/>
    <col min="6" max="6" width="12.7109375" style="10" customWidth="1"/>
    <col min="7" max="7" width="15" style="10" customWidth="1"/>
    <col min="8" max="8" width="19.85546875" style="10" customWidth="1"/>
    <col min="9" max="9" width="8.85546875" style="10"/>
    <col min="10" max="10" width="37.140625" style="10" customWidth="1"/>
    <col min="11" max="11" width="18.85546875" style="10" customWidth="1"/>
    <col min="12" max="12" width="13.85546875" style="10" customWidth="1"/>
    <col min="13" max="16384" width="8.85546875" style="10"/>
  </cols>
  <sheetData>
    <row r="3" spans="2:12" s="12" customFormat="1" ht="45" x14ac:dyDescent="0.25">
      <c r="B3" s="13" t="s">
        <v>0</v>
      </c>
      <c r="C3" s="13" t="s">
        <v>1</v>
      </c>
      <c r="D3" s="13" t="s">
        <v>57</v>
      </c>
      <c r="E3" s="13" t="s">
        <v>3</v>
      </c>
      <c r="F3" s="13" t="s">
        <v>78</v>
      </c>
      <c r="G3" s="13" t="s">
        <v>53</v>
      </c>
      <c r="H3" s="13" t="s">
        <v>77</v>
      </c>
      <c r="I3" s="13" t="s">
        <v>79</v>
      </c>
      <c r="J3" s="13" t="s">
        <v>58</v>
      </c>
      <c r="K3" s="13" t="s">
        <v>59</v>
      </c>
      <c r="L3" s="13" t="s">
        <v>80</v>
      </c>
    </row>
    <row r="4" spans="2:12" ht="30" x14ac:dyDescent="0.25">
      <c r="B4" s="7">
        <v>44937</v>
      </c>
      <c r="C4" s="8" t="s">
        <v>14</v>
      </c>
      <c r="D4" s="9" t="s">
        <v>38</v>
      </c>
      <c r="E4" s="9" t="s">
        <v>15</v>
      </c>
      <c r="F4" s="11">
        <v>52500</v>
      </c>
      <c r="G4" s="11">
        <v>74500</v>
      </c>
      <c r="H4" s="9" t="s">
        <v>63</v>
      </c>
      <c r="I4" s="9"/>
      <c r="J4" s="9"/>
      <c r="K4" s="9"/>
      <c r="L4" s="9"/>
    </row>
    <row r="5" spans="2:12" ht="78.75" customHeight="1" x14ac:dyDescent="0.25">
      <c r="B5" s="7">
        <v>44938</v>
      </c>
      <c r="C5" s="8" t="s">
        <v>8</v>
      </c>
      <c r="D5" s="9" t="s">
        <v>46</v>
      </c>
      <c r="E5" s="9" t="s">
        <v>15</v>
      </c>
      <c r="F5" s="11"/>
      <c r="G5" s="11"/>
      <c r="H5" s="9" t="s">
        <v>54</v>
      </c>
      <c r="I5" s="9">
        <f>3650*2</f>
        <v>7300</v>
      </c>
      <c r="J5" s="9" t="s">
        <v>66</v>
      </c>
      <c r="K5" s="9" t="s">
        <v>67</v>
      </c>
      <c r="L5" s="9"/>
    </row>
    <row r="6" spans="2:12" ht="60" x14ac:dyDescent="0.25">
      <c r="B6" s="7">
        <v>44939</v>
      </c>
      <c r="C6" s="8" t="s">
        <v>17</v>
      </c>
      <c r="D6" s="9" t="s">
        <v>48</v>
      </c>
      <c r="E6" s="9" t="s">
        <v>18</v>
      </c>
      <c r="F6" s="11"/>
      <c r="G6" s="11"/>
      <c r="H6" s="9" t="s">
        <v>63</v>
      </c>
      <c r="I6" s="9"/>
      <c r="J6" s="9"/>
      <c r="K6" s="9"/>
      <c r="L6" s="9"/>
    </row>
    <row r="7" spans="2:12" ht="90" x14ac:dyDescent="0.25">
      <c r="B7" s="7">
        <v>44940</v>
      </c>
      <c r="C7" s="8" t="s">
        <v>5</v>
      </c>
      <c r="D7" s="9" t="s">
        <v>49</v>
      </c>
      <c r="E7" s="9" t="s">
        <v>18</v>
      </c>
      <c r="F7" s="11"/>
      <c r="G7" s="11"/>
      <c r="H7" s="9" t="s">
        <v>55</v>
      </c>
      <c r="I7" s="9">
        <f>1500*2</f>
        <v>3000</v>
      </c>
      <c r="J7" s="9" t="s">
        <v>68</v>
      </c>
      <c r="K7" s="9" t="s">
        <v>69</v>
      </c>
      <c r="L7" s="9"/>
    </row>
    <row r="8" spans="2:12" ht="30" x14ac:dyDescent="0.25">
      <c r="B8" s="7">
        <v>44941</v>
      </c>
      <c r="C8" s="8" t="s">
        <v>11</v>
      </c>
      <c r="D8" s="9" t="s">
        <v>40</v>
      </c>
      <c r="E8" s="9" t="s">
        <v>18</v>
      </c>
      <c r="F8" s="11"/>
      <c r="G8" s="11"/>
      <c r="H8" s="9" t="s">
        <v>56</v>
      </c>
      <c r="I8" s="9">
        <f>700*2</f>
        <v>1400</v>
      </c>
      <c r="J8" s="9" t="s">
        <v>70</v>
      </c>
      <c r="K8" s="9" t="s">
        <v>69</v>
      </c>
      <c r="L8" s="9"/>
    </row>
    <row r="9" spans="2:12" x14ac:dyDescent="0.25">
      <c r="B9" s="7">
        <v>44942</v>
      </c>
      <c r="C9" s="8" t="s">
        <v>20</v>
      </c>
      <c r="D9" s="9" t="s">
        <v>39</v>
      </c>
      <c r="E9" s="9" t="s">
        <v>21</v>
      </c>
      <c r="F9" s="11"/>
      <c r="G9" s="11"/>
      <c r="H9" s="9" t="s">
        <v>63</v>
      </c>
      <c r="I9" s="9"/>
      <c r="J9" s="9"/>
      <c r="K9" s="9"/>
      <c r="L9" s="9"/>
    </row>
    <row r="10" spans="2:12" ht="30" x14ac:dyDescent="0.25">
      <c r="B10" s="7">
        <v>44943</v>
      </c>
      <c r="C10" s="8" t="s">
        <v>37</v>
      </c>
      <c r="D10" s="9" t="s">
        <v>41</v>
      </c>
      <c r="E10" s="9" t="s">
        <v>21</v>
      </c>
      <c r="F10" s="11"/>
      <c r="G10" s="11"/>
      <c r="H10" s="9" t="s">
        <v>63</v>
      </c>
      <c r="I10" s="9"/>
      <c r="J10" s="9"/>
      <c r="K10" s="9"/>
      <c r="L10" s="9"/>
    </row>
    <row r="11" spans="2:12" ht="45" x14ac:dyDescent="0.25">
      <c r="B11" s="7">
        <v>44944</v>
      </c>
      <c r="C11" s="8" t="s">
        <v>14</v>
      </c>
      <c r="D11" s="9" t="s">
        <v>50</v>
      </c>
      <c r="E11" s="9" t="s">
        <v>22</v>
      </c>
      <c r="F11" s="11"/>
      <c r="G11" s="11"/>
      <c r="H11" s="9" t="s">
        <v>60</v>
      </c>
      <c r="I11" s="9">
        <f>1550*2</f>
        <v>3100</v>
      </c>
      <c r="J11" s="9" t="s">
        <v>71</v>
      </c>
      <c r="K11" s="9" t="s">
        <v>72</v>
      </c>
      <c r="L11" s="9"/>
    </row>
    <row r="12" spans="2:12" ht="90" x14ac:dyDescent="0.25">
      <c r="B12" s="7">
        <v>44945</v>
      </c>
      <c r="C12" s="8" t="s">
        <v>8</v>
      </c>
      <c r="D12" s="9" t="s">
        <v>51</v>
      </c>
      <c r="E12" s="9" t="s">
        <v>22</v>
      </c>
      <c r="F12" s="11"/>
      <c r="G12" s="11"/>
      <c r="H12" s="9" t="s">
        <v>61</v>
      </c>
      <c r="I12" s="9">
        <f>1750*2</f>
        <v>3500</v>
      </c>
      <c r="J12" s="9" t="s">
        <v>73</v>
      </c>
      <c r="K12" s="9" t="s">
        <v>74</v>
      </c>
      <c r="L12" s="9"/>
    </row>
    <row r="13" spans="2:12" x14ac:dyDescent="0.25">
      <c r="B13" s="7">
        <v>44946</v>
      </c>
      <c r="C13" s="8" t="s">
        <v>17</v>
      </c>
      <c r="D13" s="9" t="s">
        <v>42</v>
      </c>
      <c r="E13" s="9" t="s">
        <v>22</v>
      </c>
      <c r="F13" s="11"/>
      <c r="G13" s="11"/>
      <c r="H13" s="9" t="s">
        <v>63</v>
      </c>
      <c r="I13" s="9"/>
      <c r="J13" s="9"/>
      <c r="K13" s="9"/>
      <c r="L13" s="9"/>
    </row>
    <row r="14" spans="2:12" ht="30" x14ac:dyDescent="0.25">
      <c r="B14" s="7">
        <v>44947</v>
      </c>
      <c r="C14" s="8" t="s">
        <v>5</v>
      </c>
      <c r="D14" s="9" t="s">
        <v>43</v>
      </c>
      <c r="E14" s="9" t="s">
        <v>24</v>
      </c>
      <c r="F14" s="11"/>
      <c r="G14" s="11"/>
      <c r="H14" s="9" t="s">
        <v>63</v>
      </c>
      <c r="I14" s="9"/>
      <c r="J14" s="9"/>
      <c r="K14" s="9"/>
      <c r="L14" s="9"/>
    </row>
    <row r="15" spans="2:12" ht="30" x14ac:dyDescent="0.25">
      <c r="B15" s="7">
        <v>44948</v>
      </c>
      <c r="C15" s="8" t="s">
        <v>11</v>
      </c>
      <c r="D15" s="9" t="s">
        <v>44</v>
      </c>
      <c r="E15" s="9" t="s">
        <v>45</v>
      </c>
      <c r="F15" s="11"/>
      <c r="G15" s="11"/>
      <c r="H15" s="9" t="s">
        <v>62</v>
      </c>
      <c r="I15" s="9">
        <f>1750*2</f>
        <v>3500</v>
      </c>
      <c r="J15" s="9" t="s">
        <v>73</v>
      </c>
      <c r="K15" s="9" t="s">
        <v>72</v>
      </c>
      <c r="L15" s="9"/>
    </row>
    <row r="16" spans="2:12" x14ac:dyDescent="0.25">
      <c r="B16" s="7">
        <v>44949</v>
      </c>
      <c r="C16" s="8" t="s">
        <v>20</v>
      </c>
      <c r="D16" s="9" t="s">
        <v>47</v>
      </c>
      <c r="E16" s="9"/>
      <c r="F16" s="9"/>
      <c r="G16" s="9"/>
      <c r="H16" s="9"/>
      <c r="I16" s="9"/>
      <c r="J16" s="9"/>
      <c r="K16" s="9"/>
      <c r="L16" s="9"/>
    </row>
    <row r="17" spans="2:12" x14ac:dyDescent="0.25">
      <c r="B17" s="7">
        <v>44950</v>
      </c>
      <c r="C17" s="8" t="s">
        <v>37</v>
      </c>
      <c r="D17" s="9" t="s">
        <v>47</v>
      </c>
      <c r="E17" s="9"/>
      <c r="F17" s="9"/>
      <c r="G17" s="9"/>
      <c r="H17" s="9"/>
      <c r="I17" s="9"/>
      <c r="J17" s="9"/>
      <c r="K17" s="9"/>
      <c r="L17" s="9"/>
    </row>
    <row r="18" spans="2:12" x14ac:dyDescent="0.25">
      <c r="B18" s="7">
        <v>44951</v>
      </c>
      <c r="C18" s="8" t="s">
        <v>14</v>
      </c>
      <c r="D18" s="9" t="s">
        <v>47</v>
      </c>
      <c r="E18" s="9"/>
      <c r="F18" s="9"/>
      <c r="G18" s="9"/>
      <c r="H18" s="9"/>
      <c r="I18" s="9"/>
      <c r="J18" s="9"/>
      <c r="K18" s="9"/>
      <c r="L18" s="9"/>
    </row>
    <row r="19" spans="2:12" x14ac:dyDescent="0.25">
      <c r="B19" s="7">
        <v>44952</v>
      </c>
      <c r="C19" s="8" t="s">
        <v>8</v>
      </c>
      <c r="D19" s="9" t="s">
        <v>47</v>
      </c>
      <c r="E19" s="9"/>
      <c r="F19" s="9"/>
      <c r="G19" s="9"/>
      <c r="H19" s="9"/>
      <c r="I19" s="9"/>
      <c r="J19" s="9"/>
      <c r="K19" s="9"/>
      <c r="L19" s="9"/>
    </row>
    <row r="20" spans="2:12" x14ac:dyDescent="0.25">
      <c r="B20" s="7">
        <v>44953</v>
      </c>
      <c r="C20" s="8" t="s">
        <v>17</v>
      </c>
      <c r="D20" s="9" t="s">
        <v>47</v>
      </c>
      <c r="E20" s="9"/>
      <c r="F20" s="9"/>
      <c r="G20" s="9"/>
      <c r="H20" s="9"/>
      <c r="I20" s="9"/>
      <c r="J20" s="9"/>
      <c r="K20" s="9"/>
      <c r="L20" s="9"/>
    </row>
    <row r="21" spans="2:12" ht="30" x14ac:dyDescent="0.25">
      <c r="B21" s="7">
        <v>44954</v>
      </c>
      <c r="C21" s="8" t="s">
        <v>5</v>
      </c>
      <c r="D21" s="9" t="s">
        <v>52</v>
      </c>
      <c r="E21" s="9" t="s">
        <v>27</v>
      </c>
      <c r="F21" s="11">
        <v>13800</v>
      </c>
      <c r="G21" s="11">
        <v>17950</v>
      </c>
      <c r="H21" s="9"/>
      <c r="I21" s="9"/>
      <c r="J21" s="9"/>
      <c r="K21" s="9"/>
      <c r="L21" s="9"/>
    </row>
    <row r="22" spans="2:12" ht="60" x14ac:dyDescent="0.25">
      <c r="B22" s="7">
        <v>44955</v>
      </c>
      <c r="C22" s="8" t="s">
        <v>11</v>
      </c>
      <c r="D22" s="9" t="s">
        <v>64</v>
      </c>
      <c r="E22" s="9" t="s">
        <v>27</v>
      </c>
      <c r="F22" s="11"/>
      <c r="G22" s="11"/>
      <c r="H22" s="9" t="s">
        <v>65</v>
      </c>
      <c r="I22" s="9">
        <f>1750*2</f>
        <v>3500</v>
      </c>
      <c r="J22" s="9" t="s">
        <v>73</v>
      </c>
      <c r="K22" s="9" t="s">
        <v>75</v>
      </c>
      <c r="L22" s="9"/>
    </row>
    <row r="23" spans="2:12" ht="30" x14ac:dyDescent="0.25">
      <c r="B23" s="7">
        <v>44956</v>
      </c>
      <c r="C23" s="8" t="s">
        <v>20</v>
      </c>
      <c r="D23" s="9" t="s">
        <v>76</v>
      </c>
      <c r="E23" s="9" t="s">
        <v>29</v>
      </c>
      <c r="F23" s="9"/>
      <c r="G23" s="9"/>
      <c r="H23" s="9"/>
      <c r="I23" s="9"/>
      <c r="J23" s="9"/>
      <c r="K23" s="9"/>
      <c r="L23" s="9">
        <f>745*2</f>
        <v>1490</v>
      </c>
    </row>
  </sheetData>
  <mergeCells count="4">
    <mergeCell ref="F4:F15"/>
    <mergeCell ref="G4:G15"/>
    <mergeCell ref="F21:F22"/>
    <mergeCell ref="G21:G22"/>
  </mergeCells>
  <phoneticPr fontId="4" type="noConversion"/>
  <pageMargins left="0.23622047244094491" right="0.23622047244094491" top="0.74803149606299213" bottom="0.74803149606299213" header="0.31496062992125984" footer="0.31496062992125984"/>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Magic Tours</dc:creator>
  <cp:lastModifiedBy>RANJEET</cp:lastModifiedBy>
  <cp:lastPrinted>2022-12-12T05:55:58Z</cp:lastPrinted>
  <dcterms:created xsi:type="dcterms:W3CDTF">2022-12-11T02:15:30Z</dcterms:created>
  <dcterms:modified xsi:type="dcterms:W3CDTF">2022-12-12T05:59:42Z</dcterms:modified>
</cp:coreProperties>
</file>